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stos iniciales sin API LLM" sheetId="1" r:id="rId5"/>
    <sheet state="visible" name="costos iniciales con API LLM" sheetId="2" r:id="rId6"/>
    <sheet state="visible" name="Comparación" sheetId="3" r:id="rId7"/>
  </sheets>
  <definedNames/>
  <calcPr/>
</workbook>
</file>

<file path=xl/sharedStrings.xml><?xml version="1.0" encoding="utf-8"?>
<sst xmlns="http://schemas.openxmlformats.org/spreadsheetml/2006/main" count="102" uniqueCount="34">
  <si>
    <t>Concepto</t>
  </si>
  <si>
    <t>Detalle</t>
  </si>
  <si>
    <t>Costo (COP)</t>
  </si>
  <si>
    <t>Tipo</t>
  </si>
  <si>
    <t>Hardware Voz</t>
  </si>
  <si>
    <t>Grandstream GXW4108 (8 ptos) + GXW4104 (4 ptos)</t>
  </si>
  <si>
    <t>$ 2.650.000</t>
  </si>
  <si>
    <t>Único (CAPEX)</t>
  </si>
  <si>
    <t>Infraestructura</t>
  </si>
  <si>
    <t>Cableado Cat6, Switch, Organizadores</t>
  </si>
  <si>
    <t>TOTAL INVERSIÓN INICIAL</t>
  </si>
  <si>
    <t>$ 3.250.000</t>
  </si>
  <si>
    <t>PAGO ÚNICO</t>
  </si>
  <si>
    <t>Líneas Telefónicas</t>
  </si>
  <si>
    <t>10 Líneas análogas (Aprox $60k c/u - Estimado proveedor local)</t>
  </si>
  <si>
    <t>Mensual (OPEX)</t>
  </si>
  <si>
    <t>Energía (Luz)</t>
  </si>
  <si>
    <t>Consumo PC Alta Potencia (24/7 o intensivo) + Aire Acondicionado</t>
  </si>
  <si>
    <t>Internet</t>
  </si>
  <si>
    <t>Fibra Óptica Empresarial (Estabilidad)</t>
  </si>
  <si>
    <t>Nube Híbrida</t>
  </si>
  <si>
    <t>Supabase Pro (Base de datos Logs/Backup)</t>
  </si>
  <si>
    <t>Costo IA (APIs)</t>
  </si>
  <si>
    <t>Whisper, Llama 3, Piper (Todo local)</t>
  </si>
  <si>
    <t>TOTAL MENSUAL</t>
  </si>
  <si>
    <t>Costo fijo sin importar cuánto hables</t>
  </si>
  <si>
    <t>FACTURA MES</t>
  </si>
  <si>
    <t>Consumo API (IA)</t>
  </si>
  <si>
    <t>El gran golpe: Costo aprox $120 COP por minuto (STT+LLM+TTS). 
Calculado a full capacidad (156.000 minutos/mes).</t>
  </si>
  <si>
    <t>VARIABLE</t>
  </si>
  <si>
    <t>Costos Fijos + Consumo API</t>
  </si>
  <si>
    <t>SIN LLM LOCAL</t>
  </si>
  <si>
    <t>CON LLM (API)</t>
  </si>
  <si>
    <t>Costo aprox $120 COP por minuto (STT+LLM+TTS). 
Calculado a full capacidad (156.000 minutos/mes).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</si>
</sst>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4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i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1"/>
      <c r="G1" s="1"/>
      <c r="H1" s="1"/>
      <c r="I1" s="1"/>
    </row>
    <row r="2">
      <c r="A2" s="2" t="s">
        <v>4</v>
      </c>
      <c r="B2" s="1" t="s">
        <v>5</v>
      </c>
      <c r="C2" s="3" t="s">
        <v>6</v>
      </c>
      <c r="D2" s="1" t="s">
        <v>7</v>
      </c>
      <c r="F2" s="1"/>
      <c r="G2" s="2"/>
      <c r="H2" s="1"/>
      <c r="I2" s="3"/>
    </row>
    <row r="3">
      <c r="A3" s="2" t="s">
        <v>8</v>
      </c>
      <c r="B3" s="1" t="s">
        <v>9</v>
      </c>
      <c r="C3" s="3">
        <v>600000.0</v>
      </c>
      <c r="D3" s="1" t="s">
        <v>7</v>
      </c>
      <c r="F3" s="1"/>
      <c r="G3" s="2"/>
      <c r="H3" s="1"/>
      <c r="I3" s="3"/>
    </row>
    <row r="4">
      <c r="A4" s="2" t="s">
        <v>10</v>
      </c>
      <c r="B4" s="4"/>
      <c r="C4" s="2" t="s">
        <v>11</v>
      </c>
      <c r="D4" s="2" t="s">
        <v>12</v>
      </c>
      <c r="F4" s="1"/>
      <c r="G4" s="2"/>
      <c r="H4" s="1"/>
      <c r="I4" s="3"/>
    </row>
    <row r="5">
      <c r="F5" s="1"/>
      <c r="G5" s="2"/>
      <c r="H5" s="2"/>
      <c r="I5" s="3"/>
    </row>
    <row r="6">
      <c r="A6" s="4"/>
      <c r="B6" s="4"/>
      <c r="C6" s="4"/>
      <c r="D6" s="4"/>
      <c r="F6" s="1"/>
      <c r="G6" s="2"/>
      <c r="H6" s="1"/>
      <c r="I6" s="5"/>
    </row>
    <row r="7">
      <c r="A7" s="2" t="s">
        <v>13</v>
      </c>
      <c r="B7" s="1" t="s">
        <v>14</v>
      </c>
      <c r="C7" s="3">
        <v>600000.0</v>
      </c>
      <c r="D7" s="1" t="s">
        <v>15</v>
      </c>
      <c r="F7" s="2"/>
      <c r="G7" s="2"/>
      <c r="H7" s="2"/>
      <c r="I7" s="2"/>
    </row>
    <row r="8">
      <c r="A8" s="2" t="s">
        <v>16</v>
      </c>
      <c r="B8" s="1" t="s">
        <v>17</v>
      </c>
      <c r="C8" s="3">
        <v>400000.0</v>
      </c>
      <c r="D8" s="1" t="s">
        <v>15</v>
      </c>
    </row>
    <row r="9">
      <c r="A9" s="2" t="s">
        <v>18</v>
      </c>
      <c r="B9" s="1" t="s">
        <v>19</v>
      </c>
      <c r="C9" s="3">
        <v>250000.0</v>
      </c>
      <c r="D9" s="1" t="s">
        <v>15</v>
      </c>
      <c r="F9" s="1" t="s">
        <v>5</v>
      </c>
    </row>
    <row r="10">
      <c r="A10" s="2" t="s">
        <v>20</v>
      </c>
      <c r="B10" s="1" t="s">
        <v>21</v>
      </c>
      <c r="C10" s="3">
        <v>120000.0</v>
      </c>
      <c r="D10" s="1" t="s">
        <v>15</v>
      </c>
      <c r="F10" s="1" t="s">
        <v>9</v>
      </c>
    </row>
    <row r="11">
      <c r="A11" s="2" t="s">
        <v>22</v>
      </c>
      <c r="B11" s="1" t="s">
        <v>23</v>
      </c>
      <c r="C11" s="6">
        <v>3000000.0</v>
      </c>
      <c r="D11" s="1" t="s">
        <v>15</v>
      </c>
    </row>
    <row r="12">
      <c r="A12" s="2" t="s">
        <v>24</v>
      </c>
      <c r="B12" s="2" t="s">
        <v>25</v>
      </c>
      <c r="C12" s="5">
        <f>SUM(C7:C11)</f>
        <v>4370000</v>
      </c>
      <c r="D12" s="2" t="s">
        <v>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1" t="s">
        <v>5</v>
      </c>
      <c r="C2" s="3" t="s">
        <v>6</v>
      </c>
      <c r="D2" s="1" t="s">
        <v>7</v>
      </c>
    </row>
    <row r="3">
      <c r="A3" s="2" t="s">
        <v>8</v>
      </c>
      <c r="B3" s="1" t="s">
        <v>9</v>
      </c>
      <c r="C3" s="3">
        <v>600000.0</v>
      </c>
      <c r="D3" s="1" t="s">
        <v>7</v>
      </c>
    </row>
    <row r="4">
      <c r="A4" s="2" t="s">
        <v>10</v>
      </c>
      <c r="B4" s="4"/>
      <c r="C4" s="2" t="s">
        <v>11</v>
      </c>
      <c r="D4" s="2" t="s">
        <v>12</v>
      </c>
    </row>
    <row r="5">
      <c r="A5" s="2"/>
      <c r="B5" s="4"/>
      <c r="C5" s="2"/>
      <c r="D5" s="2"/>
    </row>
    <row r="6">
      <c r="A6" s="2" t="s">
        <v>13</v>
      </c>
      <c r="B6" s="1" t="s">
        <v>14</v>
      </c>
      <c r="C6" s="3">
        <v>600000.0</v>
      </c>
      <c r="D6" s="1" t="s">
        <v>15</v>
      </c>
    </row>
    <row r="7">
      <c r="A7" s="2" t="s">
        <v>16</v>
      </c>
      <c r="B7" s="1" t="s">
        <v>17</v>
      </c>
      <c r="C7" s="3">
        <v>400000.0</v>
      </c>
      <c r="D7" s="1" t="s">
        <v>15</v>
      </c>
    </row>
    <row r="8">
      <c r="A8" s="2" t="s">
        <v>18</v>
      </c>
      <c r="B8" s="1" t="s">
        <v>19</v>
      </c>
      <c r="C8" s="3">
        <v>250000.0</v>
      </c>
      <c r="D8" s="1" t="s">
        <v>15</v>
      </c>
    </row>
    <row r="9">
      <c r="A9" s="2" t="s">
        <v>20</v>
      </c>
      <c r="B9" s="1" t="s">
        <v>21</v>
      </c>
      <c r="C9" s="3">
        <v>120000.0</v>
      </c>
      <c r="D9" s="1" t="s">
        <v>15</v>
      </c>
    </row>
    <row r="10">
      <c r="A10" s="2" t="s">
        <v>27</v>
      </c>
      <c r="B10" s="7" t="s">
        <v>28</v>
      </c>
      <c r="C10" s="2">
        <v>1.872E7</v>
      </c>
      <c r="D10" s="2" t="s">
        <v>29</v>
      </c>
    </row>
    <row r="11">
      <c r="A11" s="2" t="s">
        <v>24</v>
      </c>
      <c r="B11" s="2" t="s">
        <v>30</v>
      </c>
      <c r="C11" s="5">
        <f>sum(C6:C10)</f>
        <v>20090000</v>
      </c>
      <c r="D11" s="2" t="s">
        <v>26</v>
      </c>
    </row>
    <row r="14">
      <c r="A14" s="2"/>
      <c r="B14" s="1"/>
      <c r="C14" s="1"/>
      <c r="D14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  <col customWidth="1" min="2" max="2" width="18.38"/>
    <col customWidth="1" min="3" max="3" width="18.25"/>
    <col customWidth="1" min="4" max="4" width="17.75"/>
  </cols>
  <sheetData>
    <row r="1">
      <c r="A1" s="1" t="s">
        <v>0</v>
      </c>
      <c r="B1" s="1" t="s">
        <v>1</v>
      </c>
      <c r="C1" s="1" t="s">
        <v>2</v>
      </c>
      <c r="D1" s="1"/>
    </row>
    <row r="2">
      <c r="A2" s="2" t="s">
        <v>4</v>
      </c>
      <c r="B2" s="1" t="s">
        <v>5</v>
      </c>
      <c r="C2" s="3" t="s">
        <v>6</v>
      </c>
      <c r="D2" s="4"/>
    </row>
    <row r="3">
      <c r="A3" s="2" t="s">
        <v>8</v>
      </c>
      <c r="B3" s="1" t="s">
        <v>9</v>
      </c>
      <c r="C3" s="3">
        <v>600000.0</v>
      </c>
      <c r="D3" s="8"/>
    </row>
    <row r="4">
      <c r="A4" s="2" t="s">
        <v>10</v>
      </c>
      <c r="B4" s="4"/>
      <c r="C4" s="2" t="s">
        <v>11</v>
      </c>
      <c r="D4" s="8"/>
    </row>
    <row r="5">
      <c r="D5" s="2"/>
    </row>
    <row r="6">
      <c r="A6" s="4"/>
      <c r="B6" s="1" t="s">
        <v>31</v>
      </c>
      <c r="C6" s="4"/>
      <c r="D6" s="1" t="s">
        <v>32</v>
      </c>
    </row>
    <row r="7">
      <c r="A7" s="2" t="s">
        <v>13</v>
      </c>
      <c r="B7" s="1" t="s">
        <v>14</v>
      </c>
      <c r="C7" s="3">
        <v>600000.0</v>
      </c>
      <c r="D7" s="1" t="s">
        <v>14</v>
      </c>
      <c r="E7" s="9">
        <v>600000.0</v>
      </c>
      <c r="F7" s="1" t="s">
        <v>15</v>
      </c>
    </row>
    <row r="8">
      <c r="A8" s="2" t="s">
        <v>16</v>
      </c>
      <c r="B8" s="1" t="s">
        <v>17</v>
      </c>
      <c r="C8" s="3">
        <v>400000.0</v>
      </c>
      <c r="D8" s="1" t="s">
        <v>17</v>
      </c>
      <c r="E8" s="9">
        <v>400000.0</v>
      </c>
      <c r="F8" s="1" t="s">
        <v>15</v>
      </c>
    </row>
    <row r="9">
      <c r="A9" s="2" t="s">
        <v>18</v>
      </c>
      <c r="B9" s="1" t="s">
        <v>19</v>
      </c>
      <c r="C9" s="3">
        <v>250000.0</v>
      </c>
      <c r="D9" s="1" t="s">
        <v>19</v>
      </c>
      <c r="E9" s="9">
        <v>250000.0</v>
      </c>
      <c r="F9" s="1" t="s">
        <v>15</v>
      </c>
    </row>
    <row r="10">
      <c r="A10" s="2" t="s">
        <v>20</v>
      </c>
      <c r="B10" s="1" t="s">
        <v>21</v>
      </c>
      <c r="C10" s="3">
        <v>120000.0</v>
      </c>
      <c r="D10" s="1" t="s">
        <v>21</v>
      </c>
      <c r="E10" s="9">
        <v>120000.0</v>
      </c>
      <c r="F10" s="1" t="s">
        <v>15</v>
      </c>
    </row>
    <row r="11">
      <c r="A11" s="2" t="s">
        <v>22</v>
      </c>
      <c r="B11" s="1" t="s">
        <v>23</v>
      </c>
      <c r="C11" s="6">
        <v>3000000.0</v>
      </c>
      <c r="D11" s="7" t="s">
        <v>33</v>
      </c>
      <c r="E11" s="10">
        <v>1.872E7</v>
      </c>
      <c r="F11" s="2" t="s">
        <v>29</v>
      </c>
    </row>
    <row r="12">
      <c r="A12" s="2" t="s">
        <v>24</v>
      </c>
      <c r="B12" s="2" t="s">
        <v>25</v>
      </c>
      <c r="C12" s="5">
        <f>SUM(C7:C11)</f>
        <v>4370000</v>
      </c>
      <c r="D12" s="2" t="s">
        <v>30</v>
      </c>
      <c r="E12" s="10">
        <f>sum(E7:E11)</f>
        <v>20090000</v>
      </c>
      <c r="F12" s="2" t="s">
        <v>26</v>
      </c>
    </row>
    <row r="13">
      <c r="A13" s="2"/>
      <c r="B13" s="2"/>
      <c r="C13" s="2"/>
    </row>
  </sheetData>
  <drawing r:id="rId1"/>
</worksheet>
</file>